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3rd Publication\"/>
    </mc:Choice>
  </mc:AlternateContent>
  <xr:revisionPtr revIDLastSave="0" documentId="13_ncr:1_{D3344751-3D59-4363-80CF-21AAAE3DB684}" xr6:coauthVersionLast="47" xr6:coauthVersionMax="47" xr10:uidLastSave="{00000000-0000-0000-0000-000000000000}"/>
  <bookViews>
    <workbookView xWindow="-28920" yWindow="-120" windowWidth="29040" windowHeight="15720" activeTab="4" xr2:uid="{6CF68C39-64CB-4F3A-A6DC-9DD7CE3134DB}"/>
  </bookViews>
  <sheets>
    <sheet name="SW_H3.O_OP0" sheetId="1" r:id="rId1"/>
    <sheet name="SW-H3.0-OPC" sheetId="4" r:id="rId2"/>
    <sheet name="SW-H3.0-OPS" sheetId="2" r:id="rId3"/>
    <sheet name="SW-H2.0-OP0-OS-SAP" sheetId="3" r:id="rId4"/>
    <sheet name="SW-H4.0-OP0" sheetId="6" r:id="rId5"/>
    <sheet name="Sheet1" sheetId="7" r:id="rId6"/>
    <sheet name="OpenSees Comparison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2" i="7"/>
  <c r="D3" i="5"/>
  <c r="D4" i="5"/>
  <c r="D5" i="5"/>
  <c r="D6" i="5"/>
  <c r="D7" i="5"/>
  <c r="D8" i="5"/>
  <c r="D9" i="5"/>
  <c r="D10" i="5"/>
  <c r="D11" i="5"/>
  <c r="D2" i="5"/>
</calcChain>
</file>

<file path=xl/sharedStrings.xml><?xml version="1.0" encoding="utf-8"?>
<sst xmlns="http://schemas.openxmlformats.org/spreadsheetml/2006/main" count="4" uniqueCount="3">
  <si>
    <t>Intensity Measure (g)</t>
  </si>
  <si>
    <t>Displacement (mm)</t>
  </si>
  <si>
    <t>Drift Ratio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</si>
</sst>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3</xdr:col>
      <xdr:colOff>167640</xdr:colOff>
      <xdr:row>14</xdr:row>
      <xdr:rowOff>53339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179BD9-5D65-0B9A-3A4C-EC042EA67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0"/>
          <a:ext cx="3314700" cy="261365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11</xdr:col>
      <xdr:colOff>586740</xdr:colOff>
      <xdr:row>14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A11728-B524-D666-CE5F-7164A2805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100" y="0"/>
          <a:ext cx="3634740" cy="270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5</xdr:col>
      <xdr:colOff>445067</xdr:colOff>
      <xdr:row>19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DADEA-8D66-DE94-A07F-F1D40EA86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5074217" cy="346710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1</xdr:rowOff>
    </xdr:from>
    <xdr:to>
      <xdr:col>14</xdr:col>
      <xdr:colOff>411480</xdr:colOff>
      <xdr:row>19</xdr:row>
      <xdr:rowOff>167641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8A99FE-2886-03AF-5840-2CD4DE6EE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5020" y="1"/>
          <a:ext cx="4678680" cy="3642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541020</xdr:colOff>
      <xdr:row>17</xdr:row>
      <xdr:rowOff>22861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F83485-8BC2-6FF7-A73A-F210D5F23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198620" cy="31318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1</xdr:rowOff>
    </xdr:from>
    <xdr:to>
      <xdr:col>15</xdr:col>
      <xdr:colOff>358140</xdr:colOff>
      <xdr:row>17</xdr:row>
      <xdr:rowOff>7621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7DB722-BA12-C7D7-AB18-A0554CFA6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"/>
          <a:ext cx="4625340" cy="31165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48597</xdr:colOff>
      <xdr:row>0</xdr:row>
      <xdr:rowOff>0</xdr:rowOff>
    </xdr:from>
    <xdr:to>
      <xdr:col>3</xdr:col>
      <xdr:colOff>674603</xdr:colOff>
      <xdr:row>15</xdr:row>
      <xdr:rowOff>55023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3B9F3B-EA9F-3BE1-87E3-E83638D51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97" y="0"/>
          <a:ext cx="3784807" cy="282504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381000</xdr:colOff>
      <xdr:row>16</xdr:row>
      <xdr:rowOff>43653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F3B2BD-FED1-B7F6-045E-D22DAAA23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9755" y="0"/>
          <a:ext cx="4019939" cy="30294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6</xdr:col>
      <xdr:colOff>434340</xdr:colOff>
      <xdr:row>17</xdr:row>
      <xdr:rowOff>91441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0A5529-CC0C-4FB9-36E5-7D019631E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1"/>
          <a:ext cx="4091940" cy="30175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1</xdr:rowOff>
    </xdr:from>
    <xdr:to>
      <xdr:col>15</xdr:col>
      <xdr:colOff>525780</xdr:colOff>
      <xdr:row>18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F565AE-4688-6B7C-50A4-0F6A873B3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182881"/>
          <a:ext cx="4183380" cy="31089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5</xdr:col>
      <xdr:colOff>17907</xdr:colOff>
      <xdr:row>29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955791-E4E9-E6AD-1B64-818B8B2A9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1700"/>
          <a:ext cx="4399407" cy="3095625"/>
        </a:xfrm>
        <a:prstGeom prst="rect">
          <a:avLst/>
        </a:prstGeom>
      </xdr:spPr>
    </xdr:pic>
    <xdr:clientData/>
  </xdr:twoCellAnchor>
  <xdr:twoCellAnchor editAs="oneCell">
    <xdr:from>
      <xdr:col>5</xdr:col>
      <xdr:colOff>609599</xdr:colOff>
      <xdr:row>12</xdr:row>
      <xdr:rowOff>2</xdr:rowOff>
    </xdr:from>
    <xdr:to>
      <xdr:col>12</xdr:col>
      <xdr:colOff>365759</xdr:colOff>
      <xdr:row>28</xdr:row>
      <xdr:rowOff>167786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A8079A-7C3A-2FC2-3482-C9D3FABB7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099" y="2171702"/>
          <a:ext cx="4023360" cy="30633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2F77-10A0-4583-84F1-D9451FF79654}">
  <dimension ref="A1"/>
  <sheetViews>
    <sheetView workbookViewId="0">
      <selection activeCell="G1" sqref="G1"/>
    </sheetView>
  </sheetViews>
  <sheetFormatPr defaultRowHeight="14.4" x14ac:dyDescent="0.3"/>
  <cols>
    <col min="1" max="1" width="19" bestFit="1" customWidth="1"/>
    <col min="2" max="2" width="18.2187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CAEA-F2F5-456D-95A0-8CC2267CA680}">
  <dimension ref="A1"/>
  <sheetViews>
    <sheetView workbookViewId="0">
      <selection activeCell="H1" sqref="H1"/>
    </sheetView>
  </sheetViews>
  <sheetFormatPr defaultRowHeight="14.4" x14ac:dyDescent="0.3"/>
  <cols>
    <col min="1" max="1" width="19" bestFit="1" customWidth="1"/>
    <col min="2" max="2" width="18.21875" bestFit="1" customWidth="1"/>
    <col min="4" max="4" width="12.8867187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A2A4-ADD1-4DE1-939B-A2D2B0F4483B}">
  <dimension ref="A1"/>
  <sheetViews>
    <sheetView workbookViewId="0">
      <selection activeCell="R25" sqref="R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0248-A61A-4690-B5A0-410C8E9E01C5}">
  <dimension ref="A1"/>
  <sheetViews>
    <sheetView zoomScale="98" zoomScaleNormal="98" workbookViewId="0">
      <selection activeCell="J31" sqref="J31"/>
    </sheetView>
  </sheetViews>
  <sheetFormatPr defaultRowHeight="14.4" x14ac:dyDescent="0.3"/>
  <cols>
    <col min="1" max="1" width="19" bestFit="1" customWidth="1"/>
    <col min="2" max="2" width="18.21875" bestFit="1" customWidth="1"/>
    <col min="4" max="4" width="12.77734375" bestFit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B31C-3F7F-4FAE-B2D8-D8528160B4CC}">
  <dimension ref="A1"/>
  <sheetViews>
    <sheetView tabSelected="1" workbookViewId="0">
      <selection activeCell="U23" sqref="U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F8FA-21AA-4978-879D-C1B65946A9C8}">
  <dimension ref="B1:M110"/>
  <sheetViews>
    <sheetView workbookViewId="0">
      <selection activeCell="M2" sqref="M2:M71"/>
    </sheetView>
  </sheetViews>
  <sheetFormatPr defaultRowHeight="14.4" x14ac:dyDescent="0.3"/>
  <sheetData>
    <row r="1" spans="2:13" x14ac:dyDescent="0.3">
      <c r="B1">
        <v>7.7491525423728808E-2</v>
      </c>
      <c r="E1">
        <v>0.56999999999999995</v>
      </c>
      <c r="F1">
        <v>1.52</v>
      </c>
      <c r="G1">
        <v>2.6</v>
      </c>
      <c r="H1">
        <v>3.1</v>
      </c>
      <c r="L1" t="s">
        <v>1</v>
      </c>
    </row>
    <row r="2" spans="2:13" x14ac:dyDescent="0.3">
      <c r="B2">
        <v>5.386440677966102E-2</v>
      </c>
      <c r="L2">
        <v>0.28000000000000003</v>
      </c>
      <c r="M2">
        <f>L2*2.61</f>
        <v>0.73080000000000001</v>
      </c>
    </row>
    <row r="3" spans="2:13" x14ac:dyDescent="0.3">
      <c r="B3">
        <v>7.7491525423728808E-2</v>
      </c>
      <c r="L3">
        <v>0.40100000000000002</v>
      </c>
      <c r="M3">
        <f t="shared" ref="M3:M66" si="0">L3*2.61</f>
        <v>1.04661</v>
      </c>
    </row>
    <row r="4" spans="2:13" x14ac:dyDescent="0.3">
      <c r="B4">
        <v>5.2813559322033903E-2</v>
      </c>
      <c r="L4">
        <v>0.22</v>
      </c>
      <c r="M4">
        <f t="shared" si="0"/>
        <v>0.57419999999999993</v>
      </c>
    </row>
    <row r="5" spans="2:13" x14ac:dyDescent="0.3">
      <c r="B5">
        <v>7.8813559322033905E-2</v>
      </c>
      <c r="L5">
        <v>0.05</v>
      </c>
      <c r="M5">
        <f t="shared" si="0"/>
        <v>0.1305</v>
      </c>
    </row>
    <row r="6" spans="2:13" x14ac:dyDescent="0.3">
      <c r="B6">
        <v>5.522033898305085E-2</v>
      </c>
      <c r="L6">
        <v>0.03</v>
      </c>
      <c r="M6">
        <f t="shared" si="0"/>
        <v>7.8299999999999995E-2</v>
      </c>
    </row>
    <row r="7" spans="2:13" x14ac:dyDescent="0.3">
      <c r="B7">
        <v>8.3864406779661033E-2</v>
      </c>
      <c r="L7">
        <v>0.04</v>
      </c>
      <c r="M7">
        <f t="shared" si="0"/>
        <v>0.10439999999999999</v>
      </c>
    </row>
    <row r="8" spans="2:13" x14ac:dyDescent="0.3">
      <c r="B8">
        <v>4.84406779661017E-2</v>
      </c>
      <c r="L8">
        <v>2.5100000000000001E-2</v>
      </c>
      <c r="M8">
        <f t="shared" si="0"/>
        <v>6.5511E-2</v>
      </c>
    </row>
    <row r="9" spans="2:13" x14ac:dyDescent="0.3">
      <c r="B9">
        <v>7.5796610169491532E-2</v>
      </c>
      <c r="L9">
        <v>0.46600000000000003</v>
      </c>
      <c r="M9">
        <f t="shared" si="0"/>
        <v>1.2162600000000001</v>
      </c>
    </row>
    <row r="10" spans="2:13" x14ac:dyDescent="0.3">
      <c r="B10">
        <v>5.250847457627119E-2</v>
      </c>
      <c r="L10">
        <v>0.66800000000000004</v>
      </c>
      <c r="M10">
        <f t="shared" si="0"/>
        <v>1.7434799999999999</v>
      </c>
    </row>
    <row r="11" spans="2:13" x14ac:dyDescent="0.3">
      <c r="B11">
        <v>5.0169491525423729E-2</v>
      </c>
      <c r="L11">
        <v>0.37</v>
      </c>
      <c r="M11">
        <f t="shared" si="0"/>
        <v>0.96569999999999989</v>
      </c>
    </row>
    <row r="12" spans="2:13" x14ac:dyDescent="0.3">
      <c r="B12">
        <v>0.13925423728813557</v>
      </c>
      <c r="L12">
        <v>7.9000000000000001E-2</v>
      </c>
      <c r="M12">
        <f t="shared" si="0"/>
        <v>0.20618999999999998</v>
      </c>
    </row>
    <row r="13" spans="2:13" x14ac:dyDescent="0.3">
      <c r="B13">
        <v>7.2881355932203393E-2</v>
      </c>
      <c r="L13">
        <v>5.79E-2</v>
      </c>
      <c r="M13">
        <f t="shared" si="0"/>
        <v>0.151119</v>
      </c>
    </row>
    <row r="14" spans="2:13" x14ac:dyDescent="0.3">
      <c r="B14">
        <v>0.12823728813559324</v>
      </c>
      <c r="L14">
        <v>6.0999999999999999E-2</v>
      </c>
      <c r="M14">
        <f t="shared" si="0"/>
        <v>0.15920999999999999</v>
      </c>
    </row>
    <row r="15" spans="2:13" x14ac:dyDescent="0.3">
      <c r="B15">
        <v>6.6915254237288141E-2</v>
      </c>
      <c r="L15">
        <v>4.2000000000000003E-2</v>
      </c>
      <c r="M15">
        <f t="shared" si="0"/>
        <v>0.10962</v>
      </c>
    </row>
    <row r="16" spans="2:13" x14ac:dyDescent="0.3">
      <c r="B16">
        <v>0.12538983050847458</v>
      </c>
      <c r="L16">
        <v>0.65</v>
      </c>
      <c r="M16">
        <f t="shared" si="0"/>
        <v>1.6964999999999999</v>
      </c>
    </row>
    <row r="17" spans="2:13" x14ac:dyDescent="0.3">
      <c r="B17">
        <v>8.4406779661016965E-2</v>
      </c>
      <c r="L17">
        <v>0.94</v>
      </c>
      <c r="M17">
        <f t="shared" si="0"/>
        <v>2.4533999999999998</v>
      </c>
    </row>
    <row r="18" spans="2:13" x14ac:dyDescent="0.3">
      <c r="B18">
        <v>0.13416949152542373</v>
      </c>
      <c r="L18">
        <v>0.52</v>
      </c>
      <c r="M18">
        <f t="shared" si="0"/>
        <v>1.3572</v>
      </c>
    </row>
    <row r="19" spans="2:13" x14ac:dyDescent="0.3">
      <c r="B19">
        <v>7.779661016949152E-2</v>
      </c>
      <c r="L19">
        <v>0.11</v>
      </c>
      <c r="M19">
        <f t="shared" si="0"/>
        <v>0.28709999999999997</v>
      </c>
    </row>
    <row r="20" spans="2:13" x14ac:dyDescent="0.3">
      <c r="B20">
        <v>0.10115254237288135</v>
      </c>
      <c r="L20">
        <v>9.6000000000000002E-2</v>
      </c>
      <c r="M20">
        <f t="shared" si="0"/>
        <v>0.25056</v>
      </c>
    </row>
    <row r="21" spans="2:13" x14ac:dyDescent="0.3">
      <c r="B21">
        <v>9.7016949152542373E-2</v>
      </c>
      <c r="L21">
        <v>8.5000000000000006E-2</v>
      </c>
      <c r="M21">
        <f t="shared" si="0"/>
        <v>0.22184999999999999</v>
      </c>
    </row>
    <row r="22" spans="2:13" x14ac:dyDescent="0.3">
      <c r="B22">
        <v>7.2711864406779667E-2</v>
      </c>
      <c r="L22">
        <v>0.06</v>
      </c>
      <c r="M22">
        <f t="shared" si="0"/>
        <v>0.15659999999999999</v>
      </c>
    </row>
    <row r="23" spans="2:13" x14ac:dyDescent="0.3">
      <c r="B23">
        <v>0.20033898305084746</v>
      </c>
      <c r="L23">
        <v>0.78900000000000003</v>
      </c>
      <c r="M23">
        <f t="shared" si="0"/>
        <v>2.0592899999999998</v>
      </c>
    </row>
    <row r="24" spans="2:13" x14ac:dyDescent="0.3">
      <c r="B24">
        <v>9.7932203389830497E-2</v>
      </c>
      <c r="L24">
        <v>1.2030000000000001</v>
      </c>
      <c r="M24">
        <f t="shared" si="0"/>
        <v>3.1398299999999999</v>
      </c>
    </row>
    <row r="25" spans="2:13" x14ac:dyDescent="0.3">
      <c r="B25">
        <v>0.18369491525423728</v>
      </c>
      <c r="L25">
        <v>0.67</v>
      </c>
      <c r="M25">
        <f t="shared" si="0"/>
        <v>1.7486999999999999</v>
      </c>
    </row>
    <row r="26" spans="2:13" x14ac:dyDescent="0.3">
      <c r="B26">
        <v>8.6338983050847459E-2</v>
      </c>
      <c r="L26">
        <v>0.14299999999999999</v>
      </c>
      <c r="M26">
        <f t="shared" si="0"/>
        <v>0.37322999999999995</v>
      </c>
    </row>
    <row r="27" spans="2:13" x14ac:dyDescent="0.3">
      <c r="B27">
        <v>0.18003389830508476</v>
      </c>
      <c r="L27">
        <v>8.7900000000000006E-2</v>
      </c>
      <c r="M27">
        <f t="shared" si="0"/>
        <v>0.22941900000000001</v>
      </c>
    </row>
    <row r="28" spans="2:13" x14ac:dyDescent="0.3">
      <c r="B28">
        <v>0.11027118644067797</v>
      </c>
      <c r="L28">
        <v>0.11</v>
      </c>
      <c r="M28">
        <f t="shared" si="0"/>
        <v>0.28709999999999997</v>
      </c>
    </row>
    <row r="29" spans="2:13" x14ac:dyDescent="0.3">
      <c r="B29">
        <v>0.19861016949152541</v>
      </c>
      <c r="L29">
        <v>0.08</v>
      </c>
      <c r="M29">
        <f t="shared" si="0"/>
        <v>0.20879999999999999</v>
      </c>
    </row>
    <row r="30" spans="2:13" x14ac:dyDescent="0.3">
      <c r="B30">
        <v>0.11284745762711866</v>
      </c>
      <c r="L30">
        <v>1.03</v>
      </c>
      <c r="M30">
        <f t="shared" si="0"/>
        <v>2.6882999999999999</v>
      </c>
    </row>
    <row r="31" spans="2:13" x14ac:dyDescent="0.3">
      <c r="B31">
        <v>0.12616949152542373</v>
      </c>
      <c r="L31">
        <v>1.47</v>
      </c>
      <c r="M31">
        <f t="shared" si="0"/>
        <v>3.8366999999999996</v>
      </c>
    </row>
    <row r="32" spans="2:13" x14ac:dyDescent="0.3">
      <c r="B32">
        <v>0.15586440677966101</v>
      </c>
      <c r="L32">
        <v>0.81</v>
      </c>
      <c r="M32">
        <f t="shared" si="0"/>
        <v>2.1141000000000001</v>
      </c>
    </row>
    <row r="33" spans="2:13" x14ac:dyDescent="0.3">
      <c r="B33">
        <v>9.1796610169491533E-2</v>
      </c>
      <c r="L33">
        <v>0.18</v>
      </c>
      <c r="M33">
        <f t="shared" si="0"/>
        <v>0.46979999999999994</v>
      </c>
    </row>
    <row r="34" spans="2:13" x14ac:dyDescent="0.3">
      <c r="B34">
        <v>0.27874576271186441</v>
      </c>
      <c r="L34">
        <v>9.1999999999999998E-2</v>
      </c>
      <c r="M34">
        <f t="shared" si="0"/>
        <v>0.24011999999999997</v>
      </c>
    </row>
    <row r="35" spans="2:13" x14ac:dyDescent="0.3">
      <c r="B35">
        <v>0.12799999999999997</v>
      </c>
      <c r="L35">
        <v>0.13400000000000001</v>
      </c>
      <c r="M35">
        <f t="shared" si="0"/>
        <v>0.34974</v>
      </c>
    </row>
    <row r="36" spans="2:13" x14ac:dyDescent="0.3">
      <c r="B36">
        <v>0.24545762711864405</v>
      </c>
      <c r="L36">
        <v>9.1999999999999998E-2</v>
      </c>
      <c r="M36">
        <f t="shared" si="0"/>
        <v>0.24011999999999997</v>
      </c>
    </row>
    <row r="37" spans="2:13" x14ac:dyDescent="0.3">
      <c r="B37">
        <v>0.11783050847457628</v>
      </c>
      <c r="L37">
        <v>1.21</v>
      </c>
      <c r="M37">
        <f t="shared" si="0"/>
        <v>3.1580999999999997</v>
      </c>
    </row>
    <row r="38" spans="2:13" x14ac:dyDescent="0.3">
      <c r="B38">
        <v>0.2711864406779661</v>
      </c>
      <c r="L38">
        <v>1.72</v>
      </c>
      <c r="M38">
        <f t="shared" si="0"/>
        <v>4.4891999999999994</v>
      </c>
    </row>
    <row r="39" spans="2:13" x14ac:dyDescent="0.3">
      <c r="B39">
        <v>0.13766101694915256</v>
      </c>
      <c r="L39">
        <v>0.95</v>
      </c>
      <c r="M39">
        <f t="shared" si="0"/>
        <v>2.4794999999999998</v>
      </c>
    </row>
    <row r="40" spans="2:13" x14ac:dyDescent="0.3">
      <c r="B40">
        <v>0.25962711864406779</v>
      </c>
      <c r="L40">
        <v>0.21</v>
      </c>
      <c r="M40">
        <f t="shared" si="0"/>
        <v>0.54809999999999992</v>
      </c>
    </row>
    <row r="41" spans="2:13" x14ac:dyDescent="0.3">
      <c r="B41">
        <v>0.15603389830508474</v>
      </c>
      <c r="L41">
        <v>0.108</v>
      </c>
      <c r="M41">
        <f t="shared" si="0"/>
        <v>0.28187999999999996</v>
      </c>
    </row>
    <row r="42" spans="2:13" x14ac:dyDescent="0.3">
      <c r="B42">
        <v>0.15881355932203389</v>
      </c>
      <c r="L42">
        <v>0.158</v>
      </c>
      <c r="M42">
        <f t="shared" si="0"/>
        <v>0.41237999999999997</v>
      </c>
    </row>
    <row r="43" spans="2:13" x14ac:dyDescent="0.3">
      <c r="B43">
        <v>0.22379661016949154</v>
      </c>
      <c r="L43">
        <v>0.108</v>
      </c>
      <c r="M43">
        <f t="shared" si="0"/>
        <v>0.28187999999999996</v>
      </c>
    </row>
    <row r="44" spans="2:13" x14ac:dyDescent="0.3">
      <c r="B44">
        <v>0.12623728813559323</v>
      </c>
      <c r="L44">
        <v>1.39</v>
      </c>
      <c r="M44">
        <f t="shared" si="0"/>
        <v>3.6278999999999995</v>
      </c>
    </row>
    <row r="45" spans="2:13" x14ac:dyDescent="0.3">
      <c r="B45">
        <v>0.34908474576271187</v>
      </c>
      <c r="L45">
        <v>1.98</v>
      </c>
      <c r="M45">
        <f t="shared" si="0"/>
        <v>5.1677999999999997</v>
      </c>
    </row>
    <row r="46" spans="2:13" x14ac:dyDescent="0.3">
      <c r="B46">
        <v>0.1648135593220339</v>
      </c>
      <c r="L46">
        <v>1.1000000000000001</v>
      </c>
      <c r="M46">
        <f t="shared" si="0"/>
        <v>2.871</v>
      </c>
    </row>
    <row r="47" spans="2:13" x14ac:dyDescent="0.3">
      <c r="B47">
        <v>0.29861016949152541</v>
      </c>
      <c r="L47">
        <v>0.24</v>
      </c>
      <c r="M47">
        <f t="shared" si="0"/>
        <v>0.62639999999999996</v>
      </c>
    </row>
    <row r="48" spans="2:13" x14ac:dyDescent="0.3">
      <c r="B48">
        <v>0.16406779661016949</v>
      </c>
      <c r="L48">
        <v>0.124</v>
      </c>
      <c r="M48">
        <f t="shared" si="0"/>
        <v>0.32363999999999998</v>
      </c>
    </row>
    <row r="49" spans="2:13" x14ac:dyDescent="0.3">
      <c r="B49">
        <v>0.35694915254237286</v>
      </c>
      <c r="L49">
        <v>0.182</v>
      </c>
      <c r="M49">
        <f t="shared" si="0"/>
        <v>0.47501999999999994</v>
      </c>
    </row>
    <row r="50" spans="2:13" x14ac:dyDescent="0.3">
      <c r="B50">
        <v>0.16738983050847456</v>
      </c>
      <c r="L50">
        <v>0.124</v>
      </c>
      <c r="M50">
        <f t="shared" si="0"/>
        <v>0.32363999999999998</v>
      </c>
    </row>
    <row r="51" spans="2:13" x14ac:dyDescent="0.3">
      <c r="B51">
        <v>0.33454237288135591</v>
      </c>
      <c r="L51">
        <v>1.85</v>
      </c>
      <c r="M51">
        <f t="shared" si="0"/>
        <v>4.8285</v>
      </c>
    </row>
    <row r="52" spans="2:13" x14ac:dyDescent="0.3">
      <c r="B52">
        <v>0.21664406779661019</v>
      </c>
      <c r="L52">
        <v>2.65</v>
      </c>
      <c r="M52">
        <f t="shared" si="0"/>
        <v>6.9164999999999992</v>
      </c>
    </row>
    <row r="53" spans="2:13" x14ac:dyDescent="0.3">
      <c r="B53">
        <v>0.20752542372881358</v>
      </c>
      <c r="L53">
        <v>1.47</v>
      </c>
      <c r="M53">
        <f t="shared" si="0"/>
        <v>3.8366999999999996</v>
      </c>
    </row>
    <row r="54" spans="2:13" x14ac:dyDescent="0.3">
      <c r="B54">
        <v>0.29671186440677966</v>
      </c>
      <c r="L54">
        <v>0.32</v>
      </c>
      <c r="M54">
        <f t="shared" si="0"/>
        <v>0.83519999999999994</v>
      </c>
    </row>
    <row r="55" spans="2:13" x14ac:dyDescent="0.3">
      <c r="B55">
        <v>0.1584406779661017</v>
      </c>
      <c r="L55">
        <v>0.16500000000000001</v>
      </c>
      <c r="M55">
        <f t="shared" si="0"/>
        <v>0.43064999999999998</v>
      </c>
    </row>
    <row r="56" spans="2:13" x14ac:dyDescent="0.3">
      <c r="B56">
        <v>0.42583050847457626</v>
      </c>
      <c r="L56">
        <v>0.24299999999999999</v>
      </c>
      <c r="M56">
        <f t="shared" si="0"/>
        <v>0.63422999999999996</v>
      </c>
    </row>
    <row r="57" spans="2:13" x14ac:dyDescent="0.3">
      <c r="B57">
        <v>0.21254237288135594</v>
      </c>
      <c r="L57">
        <v>0.16500000000000001</v>
      </c>
      <c r="M57">
        <f t="shared" si="0"/>
        <v>0.43064999999999998</v>
      </c>
    </row>
    <row r="58" spans="2:13" x14ac:dyDescent="0.3">
      <c r="B58">
        <v>0.34620338983050847</v>
      </c>
      <c r="L58">
        <v>2.2999999999999998</v>
      </c>
      <c r="M58">
        <f t="shared" si="0"/>
        <v>6.0029999999999992</v>
      </c>
    </row>
    <row r="59" spans="2:13" x14ac:dyDescent="0.3">
      <c r="B59">
        <v>0.21342372881355934</v>
      </c>
      <c r="L59">
        <v>3.3</v>
      </c>
      <c r="M59">
        <f t="shared" si="0"/>
        <v>8.6129999999999995</v>
      </c>
    </row>
    <row r="60" spans="2:13" x14ac:dyDescent="0.3">
      <c r="B60">
        <v>0.41952542372881352</v>
      </c>
      <c r="L60">
        <v>1.83</v>
      </c>
      <c r="M60">
        <f t="shared" si="0"/>
        <v>4.7763</v>
      </c>
    </row>
    <row r="61" spans="2:13" x14ac:dyDescent="0.3">
      <c r="B61">
        <v>0.20088135593220341</v>
      </c>
      <c r="L61">
        <v>0.4</v>
      </c>
      <c r="M61">
        <f t="shared" si="0"/>
        <v>1.044</v>
      </c>
    </row>
    <row r="62" spans="2:13" x14ac:dyDescent="0.3">
      <c r="B62">
        <v>0.41823728813559319</v>
      </c>
      <c r="L62">
        <v>0.20599999999999999</v>
      </c>
      <c r="M62">
        <f t="shared" si="0"/>
        <v>0.53765999999999992</v>
      </c>
    </row>
    <row r="63" spans="2:13" x14ac:dyDescent="0.3">
      <c r="B63">
        <v>0.26416949152542374</v>
      </c>
      <c r="L63">
        <v>0.30399999999999999</v>
      </c>
      <c r="M63">
        <f t="shared" si="0"/>
        <v>0.79343999999999992</v>
      </c>
    </row>
    <row r="64" spans="2:13" x14ac:dyDescent="0.3">
      <c r="B64">
        <v>0.25779661016949151</v>
      </c>
      <c r="L64">
        <v>0.20599999999999999</v>
      </c>
      <c r="M64">
        <f t="shared" si="0"/>
        <v>0.53765999999999992</v>
      </c>
    </row>
    <row r="65" spans="2:13" x14ac:dyDescent="0.3">
      <c r="B65">
        <v>0.37640677966101688</v>
      </c>
      <c r="L65">
        <v>2.75</v>
      </c>
      <c r="M65">
        <f t="shared" si="0"/>
        <v>7.1774999999999993</v>
      </c>
    </row>
    <row r="66" spans="2:13" x14ac:dyDescent="0.3">
      <c r="B66">
        <v>0.17596610169491525</v>
      </c>
      <c r="L66">
        <v>3.95</v>
      </c>
      <c r="M66">
        <f t="shared" si="0"/>
        <v>10.3095</v>
      </c>
    </row>
    <row r="67" spans="2:13" x14ac:dyDescent="0.3">
      <c r="B67">
        <v>0.50291525423728822</v>
      </c>
      <c r="L67">
        <v>2.2000000000000002</v>
      </c>
      <c r="M67">
        <f t="shared" ref="M67:M71" si="1">L67*2.61</f>
        <v>5.742</v>
      </c>
    </row>
    <row r="68" spans="2:13" x14ac:dyDescent="0.3">
      <c r="B68">
        <v>0.26261016949152544</v>
      </c>
      <c r="L68">
        <v>0.48</v>
      </c>
      <c r="M68">
        <f t="shared" si="1"/>
        <v>1.2527999999999999</v>
      </c>
    </row>
    <row r="69" spans="2:13" x14ac:dyDescent="0.3">
      <c r="B69">
        <v>0.37674576271186444</v>
      </c>
      <c r="L69">
        <v>0.248</v>
      </c>
      <c r="M69">
        <f t="shared" si="1"/>
        <v>0.64727999999999997</v>
      </c>
    </row>
    <row r="70" spans="2:13" x14ac:dyDescent="0.3">
      <c r="B70">
        <v>0.252</v>
      </c>
      <c r="L70">
        <v>0.36499999999999999</v>
      </c>
      <c r="M70">
        <f t="shared" si="1"/>
        <v>0.95264999999999989</v>
      </c>
    </row>
    <row r="71" spans="2:13" x14ac:dyDescent="0.3">
      <c r="B71">
        <v>0.47142372881355932</v>
      </c>
      <c r="L71">
        <v>0.248</v>
      </c>
      <c r="M71">
        <f t="shared" si="1"/>
        <v>0.64727999999999997</v>
      </c>
    </row>
    <row r="72" spans="2:13" x14ac:dyDescent="0.3">
      <c r="B72">
        <v>0.2332542372881356</v>
      </c>
    </row>
    <row r="73" spans="2:13" x14ac:dyDescent="0.3">
      <c r="B73">
        <v>0.50830508474576275</v>
      </c>
    </row>
    <row r="74" spans="2:13" x14ac:dyDescent="0.3">
      <c r="B74">
        <v>0.31806779661016948</v>
      </c>
    </row>
    <row r="75" spans="2:13" x14ac:dyDescent="0.3">
      <c r="B75">
        <v>0.3201016949152542</v>
      </c>
    </row>
    <row r="76" spans="2:13" x14ac:dyDescent="0.3">
      <c r="B76">
        <v>0.45318644067796615</v>
      </c>
    </row>
    <row r="77" spans="2:13" x14ac:dyDescent="0.3">
      <c r="B77">
        <v>0.21477966101694915</v>
      </c>
    </row>
    <row r="78" spans="2:13" x14ac:dyDescent="0.3">
      <c r="B78">
        <v>0.75854237288135584</v>
      </c>
    </row>
    <row r="79" spans="2:13" x14ac:dyDescent="0.3">
      <c r="B79">
        <v>0.40830508474576271</v>
      </c>
    </row>
    <row r="80" spans="2:13" x14ac:dyDescent="0.3">
      <c r="B80">
        <v>0.53403389830508474</v>
      </c>
    </row>
    <row r="81" spans="2:2" x14ac:dyDescent="0.3">
      <c r="B81">
        <v>0.37274576271186444</v>
      </c>
    </row>
    <row r="82" spans="2:2" x14ac:dyDescent="0.3">
      <c r="B82">
        <v>0.67267796610169495</v>
      </c>
    </row>
    <row r="83" spans="2:2" x14ac:dyDescent="0.3">
      <c r="B83">
        <v>0.33705084745762709</v>
      </c>
    </row>
    <row r="84" spans="2:2" x14ac:dyDescent="0.3">
      <c r="B84">
        <v>0.74705084745762718</v>
      </c>
    </row>
    <row r="85" spans="2:2" x14ac:dyDescent="0.3">
      <c r="B85">
        <v>0.46793220338983055</v>
      </c>
    </row>
    <row r="86" spans="2:2" x14ac:dyDescent="0.3">
      <c r="B86">
        <v>0.47589830508474573</v>
      </c>
    </row>
    <row r="87" spans="2:2" x14ac:dyDescent="0.3">
      <c r="B87">
        <v>0.65152542372881361</v>
      </c>
    </row>
    <row r="88" spans="2:2" x14ac:dyDescent="0.3">
      <c r="B88">
        <v>0.30932203389830509</v>
      </c>
    </row>
    <row r="89" spans="2:2" x14ac:dyDescent="0.3">
      <c r="B89">
        <v>0.99915254237288131</v>
      </c>
    </row>
    <row r="90" spans="2:2" x14ac:dyDescent="0.3">
      <c r="B90">
        <v>0.56406779661016948</v>
      </c>
    </row>
    <row r="91" spans="2:2" x14ac:dyDescent="0.3">
      <c r="B91">
        <v>0.77230508474576276</v>
      </c>
    </row>
    <row r="92" spans="2:2" x14ac:dyDescent="0.3">
      <c r="B92">
        <v>0.51755932203389832</v>
      </c>
    </row>
    <row r="93" spans="2:2" x14ac:dyDescent="0.3">
      <c r="B93">
        <v>0.93477966101694909</v>
      </c>
    </row>
    <row r="94" spans="2:2" x14ac:dyDescent="0.3">
      <c r="B94">
        <v>0.45471186440677963</v>
      </c>
    </row>
    <row r="95" spans="2:2" x14ac:dyDescent="0.3">
      <c r="B95">
        <v>1.0575593220338984</v>
      </c>
    </row>
    <row r="96" spans="2:2" x14ac:dyDescent="0.3">
      <c r="B96">
        <v>0.64833898305084747</v>
      </c>
    </row>
    <row r="97" spans="2:2" x14ac:dyDescent="0.3">
      <c r="B97">
        <v>0.66277966101694918</v>
      </c>
    </row>
    <row r="98" spans="2:2" x14ac:dyDescent="0.3">
      <c r="B98">
        <v>0.92423728813559325</v>
      </c>
    </row>
    <row r="99" spans="2:2" x14ac:dyDescent="0.3">
      <c r="B99">
        <v>0.42810169491525418</v>
      </c>
    </row>
    <row r="100" spans="2:2" x14ac:dyDescent="0.3">
      <c r="B100">
        <v>1.316406779661017</v>
      </c>
    </row>
    <row r="101" spans="2:2" x14ac:dyDescent="0.3">
      <c r="B101">
        <v>0.7302372881355933</v>
      </c>
    </row>
    <row r="102" spans="2:2" x14ac:dyDescent="0.3">
      <c r="B102">
        <v>1.110271186440678</v>
      </c>
    </row>
    <row r="103" spans="2:2" x14ac:dyDescent="0.3">
      <c r="B103">
        <v>0.66783050847457637</v>
      </c>
    </row>
    <row r="104" spans="2:2" x14ac:dyDescent="0.3">
      <c r="B104">
        <v>1.2321355932203388</v>
      </c>
    </row>
    <row r="105" spans="2:2" x14ac:dyDescent="0.3">
      <c r="B105">
        <v>0.56366101694915249</v>
      </c>
    </row>
    <row r="106" spans="2:2" x14ac:dyDescent="0.3">
      <c r="B106">
        <v>1.5094576271186442</v>
      </c>
    </row>
    <row r="107" spans="2:2" x14ac:dyDescent="0.3">
      <c r="B107">
        <v>0.90366101694915257</v>
      </c>
    </row>
    <row r="108" spans="2:2" x14ac:dyDescent="0.3">
      <c r="B108">
        <v>0.89566101694915268</v>
      </c>
    </row>
    <row r="109" spans="2:2" x14ac:dyDescent="0.3">
      <c r="B109">
        <v>1.2015593220338983</v>
      </c>
    </row>
    <row r="110" spans="2:2" x14ac:dyDescent="0.3">
      <c r="B110">
        <v>0.56196610169491523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E4ED-FA11-4C9B-B1C0-96AFE75DFFF7}">
  <dimension ref="A1:D11"/>
  <sheetViews>
    <sheetView topLeftCell="A4" workbookViewId="0">
      <selection activeCell="N15" sqref="N15"/>
    </sheetView>
  </sheetViews>
  <sheetFormatPr defaultRowHeight="14.4" x14ac:dyDescent="0.3"/>
  <cols>
    <col min="1" max="1" width="19" bestFit="1" customWidth="1"/>
    <col min="2" max="2" width="18.21875" bestFit="1" customWidth="1"/>
  </cols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>
        <v>0.3</v>
      </c>
      <c r="B2">
        <v>15.2</v>
      </c>
      <c r="D2">
        <f>(B2/2000)*100</f>
        <v>0.76</v>
      </c>
    </row>
    <row r="3" spans="1:4" x14ac:dyDescent="0.3">
      <c r="A3">
        <v>0.5</v>
      </c>
      <c r="B3">
        <v>18.23</v>
      </c>
      <c r="D3">
        <f t="shared" ref="D3:D11" si="0">(B3/2000)*100</f>
        <v>0.91149999999999998</v>
      </c>
    </row>
    <row r="4" spans="1:4" x14ac:dyDescent="0.3">
      <c r="A4">
        <v>0.7</v>
      </c>
      <c r="B4">
        <v>26.2</v>
      </c>
      <c r="D4">
        <f t="shared" si="0"/>
        <v>1.3099999999999998</v>
      </c>
    </row>
    <row r="5" spans="1:4" x14ac:dyDescent="0.3">
      <c r="A5">
        <v>1</v>
      </c>
      <c r="B5">
        <v>37.42</v>
      </c>
      <c r="D5">
        <f t="shared" si="0"/>
        <v>1.871</v>
      </c>
    </row>
    <row r="6" spans="1:4" x14ac:dyDescent="0.3">
      <c r="A6">
        <v>1.2</v>
      </c>
      <c r="B6">
        <v>44.91</v>
      </c>
      <c r="D6">
        <f t="shared" si="0"/>
        <v>2.2454999999999998</v>
      </c>
    </row>
    <row r="7" spans="1:4" x14ac:dyDescent="0.3">
      <c r="A7">
        <v>1.5</v>
      </c>
      <c r="B7">
        <v>56.13</v>
      </c>
      <c r="D7">
        <f t="shared" si="0"/>
        <v>2.8064999999999998</v>
      </c>
    </row>
    <row r="8" spans="1:4" x14ac:dyDescent="0.3">
      <c r="A8">
        <v>1.7</v>
      </c>
      <c r="B8">
        <v>63.62</v>
      </c>
      <c r="D8">
        <f t="shared" si="0"/>
        <v>3.1809999999999996</v>
      </c>
    </row>
    <row r="9" spans="1:4" x14ac:dyDescent="0.3">
      <c r="A9">
        <v>2</v>
      </c>
      <c r="B9">
        <v>74.900000000000006</v>
      </c>
      <c r="D9">
        <f t="shared" si="0"/>
        <v>3.7450000000000006</v>
      </c>
    </row>
    <row r="10" spans="1:4" x14ac:dyDescent="0.3">
      <c r="A10">
        <v>2.2999999999999998</v>
      </c>
      <c r="B10">
        <v>86.07</v>
      </c>
      <c r="D10">
        <f t="shared" si="0"/>
        <v>4.3034999999999997</v>
      </c>
    </row>
    <row r="11" spans="1:4" x14ac:dyDescent="0.3">
      <c r="A11">
        <v>2.5</v>
      </c>
      <c r="B11">
        <v>93.56</v>
      </c>
      <c r="D11">
        <f t="shared" si="0"/>
        <v>4.6779999999999999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SW_H3.O_OP0</vt:lpstr>
      <vt:lpstr>SW-H3.0-OPC</vt:lpstr>
      <vt:lpstr>SW-H3.0-OPS</vt:lpstr>
      <vt:lpstr>SW-H2.0-OP0-OS-SAP</vt:lpstr>
      <vt:lpstr>SW-H4.0-OP0</vt:lpstr>
      <vt:lpstr>Sheet1</vt:lpstr>
      <vt:lpstr>OpenSees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Karanja Kuria</dc:creator>
  <cp:lastModifiedBy>Kevin Karanja Kuria</cp:lastModifiedBy>
  <dcterms:created xsi:type="dcterms:W3CDTF">2025-12-23T22:03:14Z</dcterms:created>
  <dcterms:modified xsi:type="dcterms:W3CDTF">2026-03-26T15:20:13Z</dcterms:modified>
</cp:coreProperties>
</file>