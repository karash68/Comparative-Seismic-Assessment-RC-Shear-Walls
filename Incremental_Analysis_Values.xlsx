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SAP2000 OAPI\For Use\Excel files\"/>
    </mc:Choice>
  </mc:AlternateContent>
  <xr:revisionPtr revIDLastSave="0" documentId="13_ncr:1_{662E1513-E31C-4F16-ADDE-F075727CE072}" xr6:coauthVersionLast="47" xr6:coauthVersionMax="47" xr10:uidLastSave="{00000000-0000-0000-0000-000000000000}"/>
  <bookViews>
    <workbookView xWindow="-28920" yWindow="-120" windowWidth="29040" windowHeight="15720" xr2:uid="{6CF68C39-64CB-4F3A-A6DC-9DD7CE3134DB}"/>
  </bookViews>
  <sheets>
    <sheet name="No_Opening1" sheetId="1" r:id="rId1"/>
    <sheet name="Central Opening" sheetId="4" r:id="rId2"/>
    <sheet name="sheet" sheetId="2" r:id="rId3"/>
    <sheet name="Staggered Opening" sheetId="3" r:id="rId4"/>
    <sheet name="OpenSees Comparison" sheetId="5" r:id="rId5"/>
    <sheet name="With four Stories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6" l="1"/>
  <c r="D10" i="6"/>
  <c r="D9" i="6"/>
  <c r="D8" i="6"/>
  <c r="D7" i="6"/>
  <c r="D6" i="6"/>
  <c r="D5" i="6"/>
  <c r="D4" i="6"/>
  <c r="D3" i="6"/>
  <c r="D2" i="6"/>
  <c r="D3" i="5"/>
  <c r="D4" i="5"/>
  <c r="D5" i="5"/>
  <c r="D6" i="5"/>
  <c r="D7" i="5"/>
  <c r="D8" i="5"/>
  <c r="D9" i="5"/>
  <c r="D10" i="5"/>
  <c r="D11" i="5"/>
  <c r="D2" i="5"/>
  <c r="D3" i="4"/>
  <c r="D4" i="4"/>
  <c r="D5" i="4"/>
  <c r="D6" i="4"/>
  <c r="D7" i="4"/>
  <c r="D8" i="4"/>
  <c r="D9" i="4"/>
  <c r="D10" i="4"/>
  <c r="D11" i="4"/>
  <c r="D2" i="4"/>
  <c r="D3" i="1"/>
  <c r="F3" i="1" s="1"/>
  <c r="D4" i="1"/>
  <c r="D5" i="1"/>
  <c r="D6" i="1"/>
  <c r="F6" i="1" s="1"/>
  <c r="D7" i="1"/>
  <c r="F7" i="1" s="1"/>
  <c r="D8" i="1"/>
  <c r="F8" i="1" s="1"/>
  <c r="D9" i="1"/>
  <c r="D10" i="1"/>
  <c r="F10" i="1" s="1"/>
  <c r="D11" i="1"/>
  <c r="F11" i="1" s="1"/>
  <c r="D2" i="1"/>
  <c r="F2" i="1"/>
  <c r="F4" i="1"/>
  <c r="F9" i="1"/>
  <c r="D3" i="3"/>
  <c r="D4" i="3"/>
  <c r="D5" i="3"/>
  <c r="D6" i="3"/>
  <c r="D7" i="3"/>
  <c r="D8" i="3"/>
  <c r="D9" i="3"/>
  <c r="D10" i="3"/>
  <c r="D11" i="3"/>
  <c r="D2" i="3"/>
  <c r="N1" i="2"/>
  <c r="N2" i="2"/>
  <c r="N3" i="2"/>
  <c r="N4" i="2"/>
  <c r="N5" i="2"/>
  <c r="N6" i="2"/>
  <c r="N7" i="2"/>
  <c r="N8" i="2"/>
  <c r="N9" i="2"/>
  <c r="N10" i="2"/>
  <c r="N11" i="2"/>
  <c r="K1" i="2"/>
  <c r="K2" i="2"/>
  <c r="K3" i="2"/>
  <c r="K4" i="2"/>
  <c r="K5" i="2"/>
  <c r="K6" i="2"/>
  <c r="K7" i="2"/>
  <c r="K8" i="2"/>
  <c r="K9" i="2"/>
  <c r="K10" i="2"/>
  <c r="K11" i="2"/>
  <c r="I2" i="2"/>
  <c r="I3" i="2"/>
  <c r="I4" i="2"/>
  <c r="I5" i="2"/>
  <c r="I6" i="2"/>
  <c r="I7" i="2"/>
  <c r="I8" i="2"/>
  <c r="I9" i="2"/>
  <c r="I10" i="2"/>
  <c r="I11" i="2"/>
  <c r="I1" i="2"/>
  <c r="E2" i="2"/>
  <c r="E3" i="2"/>
  <c r="E4" i="2"/>
  <c r="E5" i="2"/>
  <c r="E6" i="2"/>
  <c r="E7" i="2"/>
  <c r="E8" i="2"/>
  <c r="E9" i="2"/>
  <c r="E10" i="2"/>
  <c r="E11" i="2"/>
  <c r="E1" i="2"/>
  <c r="B3" i="2"/>
  <c r="B4" i="2"/>
  <c r="B5" i="2"/>
  <c r="B6" i="2"/>
  <c r="B7" i="2"/>
  <c r="B8" i="2"/>
  <c r="B9" i="2"/>
  <c r="B2" i="2"/>
  <c r="F5" i="1"/>
</calcChain>
</file>

<file path=xl/sharedStrings.xml><?xml version="1.0" encoding="utf-8"?>
<sst xmlns="http://schemas.openxmlformats.org/spreadsheetml/2006/main" count="15" uniqueCount="4">
  <si>
    <t>Intensity Measure (g)</t>
  </si>
  <si>
    <t>Displacement (mm)</t>
  </si>
  <si>
    <t>Drift Ratio</t>
  </si>
  <si>
    <t>Drift Ratio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</si>
</sst>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12</xdr:row>
      <xdr:rowOff>1</xdr:rowOff>
    </xdr:from>
    <xdr:to>
      <xdr:col>4</xdr:col>
      <xdr:colOff>314849</xdr:colOff>
      <xdr:row>28</xdr:row>
      <xdr:rowOff>171451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F593684-F9CF-7CF7-9949-9159C3FFF4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2171701"/>
          <a:ext cx="4086748" cy="3067050"/>
        </a:xfrm>
        <a:prstGeom prst="rect">
          <a:avLst/>
        </a:prstGeom>
      </xdr:spPr>
    </xdr:pic>
    <xdr:clientData/>
  </xdr:twoCellAnchor>
  <xdr:twoCellAnchor editAs="oneCell">
    <xdr:from>
      <xdr:col>5</xdr:col>
      <xdr:colOff>1</xdr:colOff>
      <xdr:row>12</xdr:row>
      <xdr:rowOff>0</xdr:rowOff>
    </xdr:from>
    <xdr:to>
      <xdr:col>11</xdr:col>
      <xdr:colOff>533401</xdr:colOff>
      <xdr:row>29</xdr:row>
      <xdr:rowOff>69970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F3D24D7-F11C-1CE7-9369-5450EE4E1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381501" y="2171700"/>
          <a:ext cx="4191000" cy="314654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</xdr:row>
      <xdr:rowOff>1</xdr:rowOff>
    </xdr:from>
    <xdr:to>
      <xdr:col>4</xdr:col>
      <xdr:colOff>11719</xdr:colOff>
      <xdr:row>28</xdr:row>
      <xdr:rowOff>152401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632C1C0-F4C9-1FE8-CA59-A3BD8D0848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171701"/>
          <a:ext cx="4059844" cy="3048000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12</xdr:row>
      <xdr:rowOff>1</xdr:rowOff>
    </xdr:from>
    <xdr:to>
      <xdr:col>11</xdr:col>
      <xdr:colOff>452891</xdr:colOff>
      <xdr:row>29</xdr:row>
      <xdr:rowOff>9526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A0A029-4CA8-A764-9994-BCB2C529E7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657725" y="2171701"/>
          <a:ext cx="4110491" cy="30861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</xdr:row>
      <xdr:rowOff>0</xdr:rowOff>
    </xdr:from>
    <xdr:to>
      <xdr:col>3</xdr:col>
      <xdr:colOff>857496</xdr:colOff>
      <xdr:row>29</xdr:row>
      <xdr:rowOff>139061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521DC54-1F24-05A7-33A7-E06AED800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131017"/>
          <a:ext cx="4029805" cy="3158002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10</xdr:col>
      <xdr:colOff>532755</xdr:colOff>
      <xdr:row>29</xdr:row>
      <xdr:rowOff>149384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2D777E2-6B58-4DFA-299C-E8FEB8E4CD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052161" y="2131017"/>
          <a:ext cx="4213602" cy="316832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</xdr:row>
      <xdr:rowOff>0</xdr:rowOff>
    </xdr:from>
    <xdr:to>
      <xdr:col>5</xdr:col>
      <xdr:colOff>17907</xdr:colOff>
      <xdr:row>29</xdr:row>
      <xdr:rowOff>19050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2955791-E4E9-E6AD-1B64-818B8B2A96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171700"/>
          <a:ext cx="4399407" cy="3095625"/>
        </a:xfrm>
        <a:prstGeom prst="rect">
          <a:avLst/>
        </a:prstGeom>
      </xdr:spPr>
    </xdr:pic>
    <xdr:clientData/>
  </xdr:twoCellAnchor>
  <xdr:twoCellAnchor editAs="oneCell">
    <xdr:from>
      <xdr:col>5</xdr:col>
      <xdr:colOff>609599</xdr:colOff>
      <xdr:row>12</xdr:row>
      <xdr:rowOff>2</xdr:rowOff>
    </xdr:from>
    <xdr:to>
      <xdr:col>12</xdr:col>
      <xdr:colOff>365759</xdr:colOff>
      <xdr:row>28</xdr:row>
      <xdr:rowOff>167786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6A8079A-7C3A-2FC2-3482-C9D3FABB7D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91099" y="2171702"/>
          <a:ext cx="4023360" cy="306338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</xdr:row>
      <xdr:rowOff>0</xdr:rowOff>
    </xdr:from>
    <xdr:to>
      <xdr:col>6</xdr:col>
      <xdr:colOff>594845</xdr:colOff>
      <xdr:row>29</xdr:row>
      <xdr:rowOff>152400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BD54059-AC75-CF32-88F9-AE85CD692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171700"/>
          <a:ext cx="4252445" cy="3228975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15</xdr:col>
      <xdr:colOff>0</xdr:colOff>
      <xdr:row>29</xdr:row>
      <xdr:rowOff>129540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BB35158-23A4-E4AC-472D-A02FF6039E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876800" y="2171700"/>
          <a:ext cx="4267200" cy="32061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2F77-10A0-4583-84F1-D9451FF79654}">
  <dimension ref="A1:F11"/>
  <sheetViews>
    <sheetView tabSelected="1" workbookViewId="0">
      <selection activeCell="M11" sqref="M11"/>
    </sheetView>
  </sheetViews>
  <sheetFormatPr defaultRowHeight="14.4" x14ac:dyDescent="0.3"/>
  <cols>
    <col min="1" max="1" width="19" bestFit="1" customWidth="1"/>
    <col min="2" max="2" width="18.21875" bestFit="1" customWidth="1"/>
  </cols>
  <sheetData>
    <row r="1" spans="1:6" x14ac:dyDescent="0.3">
      <c r="A1" t="s">
        <v>0</v>
      </c>
      <c r="B1" t="s">
        <v>1</v>
      </c>
      <c r="D1" t="s">
        <v>2</v>
      </c>
    </row>
    <row r="2" spans="1:6" x14ac:dyDescent="0.3">
      <c r="A2">
        <v>0.3</v>
      </c>
      <c r="B2">
        <v>26</v>
      </c>
      <c r="D2">
        <f>(B2/3000)*100</f>
        <v>0.86666666666666659</v>
      </c>
      <c r="F2">
        <f>D2*0.1</f>
        <v>8.666666666666667E-2</v>
      </c>
    </row>
    <row r="3" spans="1:6" x14ac:dyDescent="0.3">
      <c r="A3">
        <v>0.5</v>
      </c>
      <c r="B3">
        <v>44</v>
      </c>
      <c r="D3">
        <f t="shared" ref="D3:D11" si="0">(B3/3000)*100</f>
        <v>1.4666666666666666</v>
      </c>
      <c r="F3">
        <f t="shared" ref="F3:F11" si="1">D3*0.1</f>
        <v>0.14666666666666667</v>
      </c>
    </row>
    <row r="4" spans="1:6" x14ac:dyDescent="0.3">
      <c r="A4">
        <v>0.7</v>
      </c>
      <c r="B4">
        <v>62</v>
      </c>
      <c r="D4">
        <f t="shared" si="0"/>
        <v>2.0666666666666664</v>
      </c>
      <c r="F4">
        <f t="shared" si="1"/>
        <v>0.20666666666666667</v>
      </c>
    </row>
    <row r="5" spans="1:6" x14ac:dyDescent="0.3">
      <c r="A5">
        <v>1</v>
      </c>
      <c r="B5">
        <v>88</v>
      </c>
      <c r="D5">
        <f t="shared" si="0"/>
        <v>2.9333333333333331</v>
      </c>
      <c r="F5">
        <f t="shared" si="1"/>
        <v>0.29333333333333333</v>
      </c>
    </row>
    <row r="6" spans="1:6" x14ac:dyDescent="0.3">
      <c r="A6">
        <v>1.2</v>
      </c>
      <c r="B6">
        <v>106</v>
      </c>
      <c r="D6">
        <f t="shared" si="0"/>
        <v>3.5333333333333337</v>
      </c>
      <c r="F6">
        <f t="shared" si="1"/>
        <v>0.35333333333333339</v>
      </c>
    </row>
    <row r="7" spans="1:6" x14ac:dyDescent="0.3">
      <c r="A7">
        <v>1.5</v>
      </c>
      <c r="B7">
        <v>132</v>
      </c>
      <c r="D7">
        <f t="shared" si="0"/>
        <v>4.3999999999999995</v>
      </c>
      <c r="F7">
        <f t="shared" si="1"/>
        <v>0.43999999999999995</v>
      </c>
    </row>
    <row r="8" spans="1:6" x14ac:dyDescent="0.3">
      <c r="A8">
        <v>1.7</v>
      </c>
      <c r="B8">
        <v>150</v>
      </c>
      <c r="D8">
        <f t="shared" si="0"/>
        <v>5</v>
      </c>
      <c r="F8">
        <f t="shared" si="1"/>
        <v>0.5</v>
      </c>
    </row>
    <row r="9" spans="1:6" x14ac:dyDescent="0.3">
      <c r="A9">
        <v>2</v>
      </c>
      <c r="B9">
        <v>176</v>
      </c>
      <c r="D9">
        <f t="shared" si="0"/>
        <v>5.8666666666666663</v>
      </c>
      <c r="F9">
        <f t="shared" si="1"/>
        <v>0.58666666666666667</v>
      </c>
    </row>
    <row r="10" spans="1:6" x14ac:dyDescent="0.3">
      <c r="A10">
        <v>2.2999999999999998</v>
      </c>
      <c r="B10">
        <v>203</v>
      </c>
      <c r="D10">
        <f t="shared" si="0"/>
        <v>6.7666666666666666</v>
      </c>
      <c r="F10">
        <f t="shared" si="1"/>
        <v>0.67666666666666675</v>
      </c>
    </row>
    <row r="11" spans="1:6" x14ac:dyDescent="0.3">
      <c r="A11">
        <v>2.5</v>
      </c>
      <c r="B11">
        <v>220</v>
      </c>
      <c r="D11">
        <f t="shared" si="0"/>
        <v>7.333333333333333</v>
      </c>
      <c r="F11">
        <f t="shared" si="1"/>
        <v>0.73333333333333339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9CAEA-F2F5-456D-95A0-8CC2267CA680}">
  <dimension ref="A1:D11"/>
  <sheetViews>
    <sheetView workbookViewId="0">
      <selection activeCell="D2" sqref="D2"/>
    </sheetView>
  </sheetViews>
  <sheetFormatPr defaultRowHeight="14.4" x14ac:dyDescent="0.3"/>
  <cols>
    <col min="1" max="1" width="19" bestFit="1" customWidth="1"/>
    <col min="2" max="2" width="18.21875" bestFit="1" customWidth="1"/>
    <col min="4" max="4" width="12.88671875" bestFit="1" customWidth="1"/>
  </cols>
  <sheetData>
    <row r="1" spans="1:4" x14ac:dyDescent="0.3">
      <c r="A1" t="s">
        <v>0</v>
      </c>
      <c r="B1" t="s">
        <v>1</v>
      </c>
      <c r="D1" t="s">
        <v>3</v>
      </c>
    </row>
    <row r="2" spans="1:4" x14ac:dyDescent="0.3">
      <c r="A2">
        <v>0.3</v>
      </c>
      <c r="B2">
        <v>27.3</v>
      </c>
      <c r="D2">
        <f>(B2/3000)*100</f>
        <v>0.91</v>
      </c>
    </row>
    <row r="3" spans="1:4" x14ac:dyDescent="0.3">
      <c r="A3">
        <v>0.5</v>
      </c>
      <c r="B3">
        <v>45.5</v>
      </c>
      <c r="D3">
        <f t="shared" ref="D3:D11" si="0">(B3/3000)*100</f>
        <v>1.5166666666666666</v>
      </c>
    </row>
    <row r="4" spans="1:4" x14ac:dyDescent="0.3">
      <c r="A4">
        <v>0.7</v>
      </c>
      <c r="B4">
        <v>63.7</v>
      </c>
      <c r="D4">
        <f t="shared" si="0"/>
        <v>2.1233333333333335</v>
      </c>
    </row>
    <row r="5" spans="1:4" x14ac:dyDescent="0.3">
      <c r="A5">
        <v>1</v>
      </c>
      <c r="B5">
        <v>91</v>
      </c>
      <c r="D5">
        <f t="shared" si="0"/>
        <v>3.0333333333333332</v>
      </c>
    </row>
    <row r="6" spans="1:4" x14ac:dyDescent="0.3">
      <c r="A6">
        <v>1.2</v>
      </c>
      <c r="B6">
        <v>109.2</v>
      </c>
      <c r="D6">
        <f t="shared" si="0"/>
        <v>3.64</v>
      </c>
    </row>
    <row r="7" spans="1:4" x14ac:dyDescent="0.3">
      <c r="A7">
        <v>1.5</v>
      </c>
      <c r="B7">
        <v>136.5</v>
      </c>
      <c r="D7">
        <f t="shared" si="0"/>
        <v>4.55</v>
      </c>
    </row>
    <row r="8" spans="1:4" x14ac:dyDescent="0.3">
      <c r="A8">
        <v>1.7</v>
      </c>
      <c r="B8">
        <v>154.69999999999999</v>
      </c>
      <c r="D8">
        <f t="shared" si="0"/>
        <v>5.1566666666666663</v>
      </c>
    </row>
    <row r="9" spans="1:4" x14ac:dyDescent="0.3">
      <c r="A9">
        <v>2</v>
      </c>
      <c r="B9">
        <v>182</v>
      </c>
      <c r="D9">
        <f t="shared" si="0"/>
        <v>6.0666666666666664</v>
      </c>
    </row>
    <row r="10" spans="1:4" x14ac:dyDescent="0.3">
      <c r="A10">
        <v>2.2999999999999998</v>
      </c>
      <c r="B10">
        <v>209.3</v>
      </c>
      <c r="D10">
        <f t="shared" si="0"/>
        <v>6.9766666666666675</v>
      </c>
    </row>
    <row r="11" spans="1:4" x14ac:dyDescent="0.3">
      <c r="A11">
        <v>2.5</v>
      </c>
      <c r="B11">
        <v>227.5</v>
      </c>
      <c r="D11">
        <f t="shared" si="0"/>
        <v>7.5833333333333339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6A2A4-ADD1-4DE1-939B-A2D2B0F4483B}">
  <dimension ref="B1:N11"/>
  <sheetViews>
    <sheetView workbookViewId="0">
      <selection activeCell="E37" sqref="E37"/>
    </sheetView>
  </sheetViews>
  <sheetFormatPr defaultRowHeight="14.4" x14ac:dyDescent="0.3"/>
  <sheetData>
    <row r="1" spans="2:14" x14ac:dyDescent="0.3">
      <c r="E1">
        <f ca="1">RAND()*(0.6-0.36)+0.36</f>
        <v>0.38053027000091444</v>
      </c>
      <c r="G1">
        <v>0.49817208435899429</v>
      </c>
      <c r="I1">
        <f ca="1">RAND()*(0.84-0.6)+0.6</f>
        <v>0.7119095081014214</v>
      </c>
      <c r="K1">
        <f ca="1">RAND()*(1.44-1.2)+1.2</f>
        <v>1.3735556661625026</v>
      </c>
      <c r="N1">
        <f ca="1">RAND()*(3.8-2.8)+2.8</f>
        <v>3.6561952629874965</v>
      </c>
    </row>
    <row r="2" spans="2:14" x14ac:dyDescent="0.3">
      <c r="B2">
        <f ca="1">RANDBETWEEN(0.36,0.6)</f>
        <v>1</v>
      </c>
      <c r="E2">
        <f ca="1">RAND()*(0.6-40.8)+0.36</f>
        <v>-38.774810145608981</v>
      </c>
      <c r="G2">
        <v>0.49634205064668724</v>
      </c>
      <c r="I2">
        <f t="shared" ref="I2:I11" ca="1" si="0">RAND()*(0.84-0.6)+0.6</f>
        <v>0.60136932883623784</v>
      </c>
      <c r="K2">
        <f t="shared" ref="K2:K11" ca="1" si="1">RAND()*(1.2-0.84)+0.84</f>
        <v>0.86841471756294086</v>
      </c>
      <c r="N2">
        <f t="shared" ref="N2:N11" ca="1" si="2">RAND()*(1.795-1.44)+1.44</f>
        <v>1.7193089016744261</v>
      </c>
    </row>
    <row r="3" spans="2:14" x14ac:dyDescent="0.3">
      <c r="B3">
        <f t="shared" ref="B3:B9" ca="1" si="3">RANDBETWEEN(0.36,0.6)</f>
        <v>1</v>
      </c>
      <c r="E3">
        <f t="shared" ref="E3:E11" ca="1" si="4">RAND()*(0.6-0.36)+0.36</f>
        <v>0.47703823896502145</v>
      </c>
      <c r="G3">
        <v>0.36867123169447702</v>
      </c>
      <c r="I3">
        <f t="shared" ca="1" si="0"/>
        <v>0.77075705731283495</v>
      </c>
      <c r="K3">
        <f t="shared" ca="1" si="1"/>
        <v>1.0965151495316268</v>
      </c>
      <c r="N3">
        <f t="shared" ca="1" si="2"/>
        <v>1.6629787286572475</v>
      </c>
    </row>
    <row r="4" spans="2:14" x14ac:dyDescent="0.3">
      <c r="B4">
        <f t="shared" ca="1" si="3"/>
        <v>1</v>
      </c>
      <c r="E4">
        <f t="shared" ca="1" si="4"/>
        <v>0.51096665749044656</v>
      </c>
      <c r="G4">
        <v>0.49174336072111191</v>
      </c>
      <c r="I4">
        <f t="shared" ca="1" si="0"/>
        <v>0.60157370703917934</v>
      </c>
      <c r="K4">
        <f t="shared" ca="1" si="1"/>
        <v>0.89276918052132404</v>
      </c>
      <c r="N4">
        <f t="shared" ca="1" si="2"/>
        <v>1.4662087238268504</v>
      </c>
    </row>
    <row r="5" spans="2:14" x14ac:dyDescent="0.3">
      <c r="B5">
        <f t="shared" ca="1" si="3"/>
        <v>1</v>
      </c>
      <c r="E5">
        <f t="shared" ca="1" si="4"/>
        <v>0.56564332499506964</v>
      </c>
      <c r="G5">
        <v>0.53292871658698204</v>
      </c>
      <c r="I5">
        <f t="shared" ca="1" si="0"/>
        <v>0.64709216391217328</v>
      </c>
      <c r="K5">
        <f t="shared" ca="1" si="1"/>
        <v>1.0355848301446049</v>
      </c>
      <c r="N5">
        <f t="shared" ca="1" si="2"/>
        <v>1.4974564698343984</v>
      </c>
    </row>
    <row r="6" spans="2:14" x14ac:dyDescent="0.3">
      <c r="B6">
        <f t="shared" ca="1" si="3"/>
        <v>1</v>
      </c>
      <c r="E6">
        <f t="shared" ca="1" si="4"/>
        <v>0.57285429430795864</v>
      </c>
      <c r="G6">
        <v>0.39399836413738432</v>
      </c>
      <c r="I6">
        <f t="shared" ca="1" si="0"/>
        <v>0.64635337670103987</v>
      </c>
      <c r="K6">
        <f t="shared" ca="1" si="1"/>
        <v>1.1601601461128133</v>
      </c>
      <c r="N6">
        <f t="shared" ca="1" si="2"/>
        <v>1.4779544033930709</v>
      </c>
    </row>
    <row r="7" spans="2:14" x14ac:dyDescent="0.3">
      <c r="B7">
        <f t="shared" ca="1" si="3"/>
        <v>1</v>
      </c>
      <c r="E7">
        <f t="shared" ca="1" si="4"/>
        <v>0.54779232176226778</v>
      </c>
      <c r="G7">
        <v>0.482720499508905</v>
      </c>
      <c r="I7">
        <f t="shared" ca="1" si="0"/>
        <v>0.72833650853374421</v>
      </c>
      <c r="K7">
        <f t="shared" ca="1" si="1"/>
        <v>0.87851109994570364</v>
      </c>
      <c r="N7">
        <f t="shared" ca="1" si="2"/>
        <v>1.6181393907581383</v>
      </c>
    </row>
    <row r="8" spans="2:14" x14ac:dyDescent="0.3">
      <c r="B8">
        <f t="shared" ca="1" si="3"/>
        <v>1</v>
      </c>
      <c r="E8">
        <f t="shared" ca="1" si="4"/>
        <v>0.40657554055360234</v>
      </c>
      <c r="G8">
        <v>0.39748150649563496</v>
      </c>
      <c r="I8">
        <f t="shared" ca="1" si="0"/>
        <v>0.77512174966996672</v>
      </c>
      <c r="K8">
        <f t="shared" ca="1" si="1"/>
        <v>0.90349824895508768</v>
      </c>
      <c r="N8">
        <f t="shared" ca="1" si="2"/>
        <v>1.4433154590328123</v>
      </c>
    </row>
    <row r="9" spans="2:14" x14ac:dyDescent="0.3">
      <c r="B9">
        <f t="shared" ca="1" si="3"/>
        <v>1</v>
      </c>
      <c r="E9">
        <f t="shared" ca="1" si="4"/>
        <v>0.40707445395645903</v>
      </c>
      <c r="G9">
        <v>0.59997870104425344</v>
      </c>
      <c r="I9">
        <f t="shared" ca="1" si="0"/>
        <v>0.8092035826169246</v>
      </c>
      <c r="K9">
        <f t="shared" ca="1" si="1"/>
        <v>1.020439658068492</v>
      </c>
      <c r="N9">
        <f t="shared" ca="1" si="2"/>
        <v>1.6866804795444115</v>
      </c>
    </row>
    <row r="10" spans="2:14" x14ac:dyDescent="0.3">
      <c r="E10">
        <f t="shared" ca="1" si="4"/>
        <v>0.55874484926786983</v>
      </c>
      <c r="G10">
        <v>0.48976514382160274</v>
      </c>
      <c r="I10">
        <f t="shared" ca="1" si="0"/>
        <v>0.78141702647765809</v>
      </c>
      <c r="K10">
        <f t="shared" ca="1" si="1"/>
        <v>1.0062411976991725</v>
      </c>
      <c r="N10">
        <f t="shared" ca="1" si="2"/>
        <v>1.6125762973772397</v>
      </c>
    </row>
    <row r="11" spans="2:14" x14ac:dyDescent="0.3">
      <c r="E11">
        <f t="shared" ca="1" si="4"/>
        <v>0.38155073126478228</v>
      </c>
      <c r="G11">
        <v>0.3932457750176685</v>
      </c>
      <c r="I11">
        <f t="shared" ca="1" si="0"/>
        <v>0.73288850053534427</v>
      </c>
      <c r="K11">
        <f t="shared" ca="1" si="1"/>
        <v>1.0804898438304147</v>
      </c>
      <c r="N11">
        <f t="shared" ca="1" si="2"/>
        <v>1.6511645310388761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80248-A61A-4690-B5A0-410C8E9E01C5}">
  <dimension ref="A1:D11"/>
  <sheetViews>
    <sheetView zoomScale="98" zoomScaleNormal="98" workbookViewId="0">
      <selection activeCell="L8" sqref="L8"/>
    </sheetView>
  </sheetViews>
  <sheetFormatPr defaultRowHeight="14.4" x14ac:dyDescent="0.3"/>
  <cols>
    <col min="1" max="1" width="19" bestFit="1" customWidth="1"/>
    <col min="2" max="2" width="18.21875" bestFit="1" customWidth="1"/>
    <col min="4" max="4" width="12.77734375" bestFit="1" customWidth="1"/>
  </cols>
  <sheetData>
    <row r="1" spans="1:4" x14ac:dyDescent="0.3">
      <c r="A1" t="s">
        <v>0</v>
      </c>
      <c r="B1" t="s">
        <v>1</v>
      </c>
      <c r="D1" t="s">
        <v>3</v>
      </c>
    </row>
    <row r="2" spans="1:4" x14ac:dyDescent="0.3">
      <c r="A2">
        <v>0.3</v>
      </c>
      <c r="B2">
        <v>28</v>
      </c>
      <c r="D2">
        <f>(B2/3000)*100</f>
        <v>0.93333333333333346</v>
      </c>
    </row>
    <row r="3" spans="1:4" x14ac:dyDescent="0.3">
      <c r="A3">
        <v>0.5</v>
      </c>
      <c r="B3">
        <v>47</v>
      </c>
      <c r="D3">
        <f t="shared" ref="D3:D11" si="0">(B3/3000)*100</f>
        <v>1.5666666666666667</v>
      </c>
    </row>
    <row r="4" spans="1:4" x14ac:dyDescent="0.3">
      <c r="A4">
        <v>0.7</v>
      </c>
      <c r="B4">
        <v>66</v>
      </c>
      <c r="D4">
        <f t="shared" si="0"/>
        <v>2.1999999999999997</v>
      </c>
    </row>
    <row r="5" spans="1:4" x14ac:dyDescent="0.3">
      <c r="A5">
        <v>1</v>
      </c>
      <c r="B5">
        <v>94</v>
      </c>
      <c r="D5">
        <f t="shared" si="0"/>
        <v>3.1333333333333333</v>
      </c>
    </row>
    <row r="6" spans="1:4" x14ac:dyDescent="0.3">
      <c r="A6">
        <v>1.2</v>
      </c>
      <c r="B6">
        <v>112</v>
      </c>
      <c r="D6">
        <f t="shared" si="0"/>
        <v>3.7333333333333338</v>
      </c>
    </row>
    <row r="7" spans="1:4" x14ac:dyDescent="0.3">
      <c r="A7">
        <v>1.5</v>
      </c>
      <c r="B7">
        <v>141</v>
      </c>
      <c r="D7">
        <f t="shared" si="0"/>
        <v>4.7</v>
      </c>
    </row>
    <row r="8" spans="1:4" x14ac:dyDescent="0.3">
      <c r="A8">
        <v>1.7</v>
      </c>
      <c r="B8">
        <v>160</v>
      </c>
      <c r="D8">
        <f t="shared" si="0"/>
        <v>5.3333333333333339</v>
      </c>
    </row>
    <row r="9" spans="1:4" x14ac:dyDescent="0.3">
      <c r="A9">
        <v>2</v>
      </c>
      <c r="B9">
        <v>188</v>
      </c>
      <c r="D9">
        <f t="shared" si="0"/>
        <v>6.2666666666666666</v>
      </c>
    </row>
    <row r="10" spans="1:4" x14ac:dyDescent="0.3">
      <c r="A10">
        <v>2.2999999999999998</v>
      </c>
      <c r="B10">
        <v>216</v>
      </c>
      <c r="D10">
        <f t="shared" si="0"/>
        <v>7.1999999999999993</v>
      </c>
    </row>
    <row r="11" spans="1:4" x14ac:dyDescent="0.3">
      <c r="A11">
        <v>2.5</v>
      </c>
      <c r="B11">
        <v>235</v>
      </c>
      <c r="D11">
        <f t="shared" si="0"/>
        <v>7.8333333333333339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2E4ED-FA11-4C9B-B1C0-96AFE75DFFF7}">
  <dimension ref="A1:D11"/>
  <sheetViews>
    <sheetView topLeftCell="A4" workbookViewId="0">
      <selection activeCell="N15" sqref="N15"/>
    </sheetView>
  </sheetViews>
  <sheetFormatPr defaultRowHeight="14.4" x14ac:dyDescent="0.3"/>
  <cols>
    <col min="1" max="1" width="19" bestFit="1" customWidth="1"/>
    <col min="2" max="2" width="18.21875" bestFit="1" customWidth="1"/>
  </cols>
  <sheetData>
    <row r="1" spans="1:4" x14ac:dyDescent="0.3">
      <c r="A1" t="s">
        <v>0</v>
      </c>
      <c r="B1" t="s">
        <v>1</v>
      </c>
      <c r="D1" t="s">
        <v>3</v>
      </c>
    </row>
    <row r="2" spans="1:4" x14ac:dyDescent="0.3">
      <c r="A2">
        <v>0.3</v>
      </c>
      <c r="B2">
        <v>15.2</v>
      </c>
      <c r="D2">
        <f>(B2/2000)*100</f>
        <v>0.76</v>
      </c>
    </row>
    <row r="3" spans="1:4" x14ac:dyDescent="0.3">
      <c r="A3">
        <v>0.5</v>
      </c>
      <c r="B3">
        <v>18.23</v>
      </c>
      <c r="D3">
        <f t="shared" ref="D3:D11" si="0">(B3/2000)*100</f>
        <v>0.91149999999999998</v>
      </c>
    </row>
    <row r="4" spans="1:4" x14ac:dyDescent="0.3">
      <c r="A4">
        <v>0.7</v>
      </c>
      <c r="B4">
        <v>26.2</v>
      </c>
      <c r="D4">
        <f t="shared" si="0"/>
        <v>1.3099999999999998</v>
      </c>
    </row>
    <row r="5" spans="1:4" x14ac:dyDescent="0.3">
      <c r="A5">
        <v>1</v>
      </c>
      <c r="B5">
        <v>37.42</v>
      </c>
      <c r="D5">
        <f t="shared" si="0"/>
        <v>1.871</v>
      </c>
    </row>
    <row r="6" spans="1:4" x14ac:dyDescent="0.3">
      <c r="A6">
        <v>1.2</v>
      </c>
      <c r="B6">
        <v>44.91</v>
      </c>
      <c r="D6">
        <f t="shared" si="0"/>
        <v>2.2454999999999998</v>
      </c>
    </row>
    <row r="7" spans="1:4" x14ac:dyDescent="0.3">
      <c r="A7">
        <v>1.5</v>
      </c>
      <c r="B7">
        <v>56.13</v>
      </c>
      <c r="D7">
        <f t="shared" si="0"/>
        <v>2.8064999999999998</v>
      </c>
    </row>
    <row r="8" spans="1:4" x14ac:dyDescent="0.3">
      <c r="A8">
        <v>1.7</v>
      </c>
      <c r="B8">
        <v>63.62</v>
      </c>
      <c r="D8">
        <f t="shared" si="0"/>
        <v>3.1809999999999996</v>
      </c>
    </row>
    <row r="9" spans="1:4" x14ac:dyDescent="0.3">
      <c r="A9">
        <v>2</v>
      </c>
      <c r="B9">
        <v>74.900000000000006</v>
      </c>
      <c r="D9">
        <f t="shared" si="0"/>
        <v>3.7450000000000006</v>
      </c>
    </row>
    <row r="10" spans="1:4" x14ac:dyDescent="0.3">
      <c r="A10">
        <v>2.2999999999999998</v>
      </c>
      <c r="B10">
        <v>86.07</v>
      </c>
      <c r="D10">
        <f t="shared" si="0"/>
        <v>4.3034999999999997</v>
      </c>
    </row>
    <row r="11" spans="1:4" x14ac:dyDescent="0.3">
      <c r="A11">
        <v>2.5</v>
      </c>
      <c r="B11">
        <v>93.56</v>
      </c>
      <c r="D11">
        <f t="shared" si="0"/>
        <v>4.6779999999999999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AB31C-3F7F-4FAE-B2D8-D8528160B4CC}">
  <dimension ref="A1:D11"/>
  <sheetViews>
    <sheetView topLeftCell="A10" workbookViewId="0">
      <selection activeCell="H17" sqref="H17:H18"/>
    </sheetView>
  </sheetViews>
  <sheetFormatPr defaultRowHeight="14.4" x14ac:dyDescent="0.3"/>
  <sheetData>
    <row r="1" spans="1:4" x14ac:dyDescent="0.3">
      <c r="A1" t="s">
        <v>0</v>
      </c>
      <c r="B1" t="s">
        <v>1</v>
      </c>
      <c r="D1" t="s">
        <v>3</v>
      </c>
    </row>
    <row r="2" spans="1:4" x14ac:dyDescent="0.3">
      <c r="A2">
        <v>0.3</v>
      </c>
      <c r="B2">
        <v>73.12</v>
      </c>
      <c r="D2">
        <f>(B2/2000)*100</f>
        <v>3.6560000000000001</v>
      </c>
    </row>
    <row r="3" spans="1:4" x14ac:dyDescent="0.3">
      <c r="A3">
        <v>0.5</v>
      </c>
      <c r="B3">
        <v>121.9</v>
      </c>
      <c r="D3">
        <f t="shared" ref="D3:D11" si="0">(B3/2000)*100</f>
        <v>6.0950000000000006</v>
      </c>
    </row>
    <row r="4" spans="1:4" x14ac:dyDescent="0.3">
      <c r="A4">
        <v>0.7</v>
      </c>
      <c r="B4">
        <v>170.6</v>
      </c>
      <c r="D4">
        <f t="shared" si="0"/>
        <v>8.5299999999999994</v>
      </c>
    </row>
    <row r="5" spans="1:4" x14ac:dyDescent="0.3">
      <c r="A5">
        <v>1</v>
      </c>
      <c r="B5">
        <v>243.7</v>
      </c>
      <c r="D5">
        <f t="shared" si="0"/>
        <v>12.185</v>
      </c>
    </row>
    <row r="6" spans="1:4" x14ac:dyDescent="0.3">
      <c r="A6">
        <v>1.2</v>
      </c>
      <c r="B6">
        <v>292.5</v>
      </c>
      <c r="D6">
        <f t="shared" si="0"/>
        <v>14.625</v>
      </c>
    </row>
    <row r="7" spans="1:4" x14ac:dyDescent="0.3">
      <c r="A7">
        <v>1.5</v>
      </c>
      <c r="B7">
        <v>365.6</v>
      </c>
      <c r="D7">
        <f t="shared" si="0"/>
        <v>18.28</v>
      </c>
    </row>
    <row r="8" spans="1:4" x14ac:dyDescent="0.3">
      <c r="A8">
        <v>1.7</v>
      </c>
      <c r="B8">
        <v>414.4</v>
      </c>
      <c r="D8">
        <f t="shared" si="0"/>
        <v>20.72</v>
      </c>
    </row>
    <row r="9" spans="1:4" x14ac:dyDescent="0.3">
      <c r="A9">
        <v>2</v>
      </c>
      <c r="B9">
        <v>487.5</v>
      </c>
      <c r="D9">
        <f t="shared" si="0"/>
        <v>24.375</v>
      </c>
    </row>
    <row r="10" spans="1:4" x14ac:dyDescent="0.3">
      <c r="A10">
        <v>2.2999999999999998</v>
      </c>
      <c r="B10">
        <v>560.6</v>
      </c>
      <c r="D10">
        <f t="shared" si="0"/>
        <v>28.03</v>
      </c>
    </row>
    <row r="11" spans="1:4" x14ac:dyDescent="0.3">
      <c r="A11">
        <v>2.5</v>
      </c>
      <c r="B11">
        <v>609.29999999999995</v>
      </c>
      <c r="D11">
        <f t="shared" si="0"/>
        <v>30.464999999999996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No_Opening1</vt:lpstr>
      <vt:lpstr>Central Opening</vt:lpstr>
      <vt:lpstr>sheet</vt:lpstr>
      <vt:lpstr>Staggered Opening</vt:lpstr>
      <vt:lpstr>OpenSees Comparison</vt:lpstr>
      <vt:lpstr>With four Stories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Karanja Kuria</dc:creator>
  <cp:lastModifiedBy>Kevin Karanja Kuria</cp:lastModifiedBy>
  <dcterms:created xsi:type="dcterms:W3CDTF">2025-12-23T22:03:14Z</dcterms:created>
  <dcterms:modified xsi:type="dcterms:W3CDTF">2026-01-05T00:43:33Z</dcterms:modified>
</cp:coreProperties>
</file>